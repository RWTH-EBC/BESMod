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4_git\bes-rules\data\"/>
    </mc:Choice>
  </mc:AlternateContent>
  <xr:revisionPtr revIDLastSave="0" documentId="13_ncr:1_{3878095E-DD06-4F87-BC56-58F7A1C81F77}" xr6:coauthVersionLast="47" xr6:coauthVersionMax="47" xr10:uidLastSave="{00000000-0000-0000-0000-000000000000}"/>
  <bookViews>
    <workbookView xWindow="-57720" yWindow="-120" windowWidth="29040" windowHeight="15840" activeTab="3" xr2:uid="{00000000-000D-0000-FFFF-FFFF00000000}"/>
  </bookViews>
  <sheets>
    <sheet name="cop_extrapolation_in_python" sheetId="9" r:id="rId1"/>
    <sheet name="cop_extrapolation_old" sheetId="8" r:id="rId2"/>
    <sheet name="QConMax_old" sheetId="7" r:id="rId3"/>
    <sheet name="cop_extrapolation" sheetId="2" r:id="rId4"/>
    <sheet name="QConMax" sheetId="3" r:id="rId5"/>
    <sheet name="BESRUles_alt" sheetId="6" r:id="rId6"/>
    <sheet name="BESRul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6" l="1"/>
  <c r="J17" i="6"/>
  <c r="J18" i="6"/>
  <c r="J19" i="6"/>
  <c r="J20" i="6"/>
  <c r="I20" i="6"/>
  <c r="H20" i="6"/>
  <c r="G20" i="6"/>
  <c r="F20" i="6"/>
  <c r="E20" i="6"/>
  <c r="D20" i="6"/>
  <c r="I19" i="6"/>
  <c r="H19" i="6"/>
  <c r="G19" i="6"/>
  <c r="F19" i="6"/>
  <c r="E19" i="6"/>
  <c r="D19" i="6"/>
  <c r="C19" i="6"/>
  <c r="I18" i="6"/>
  <c r="H18" i="6"/>
  <c r="G18" i="6"/>
  <c r="F18" i="6"/>
  <c r="E18" i="6"/>
  <c r="D18" i="6"/>
  <c r="C18" i="6"/>
  <c r="B18" i="6"/>
  <c r="I17" i="6"/>
  <c r="H17" i="6"/>
  <c r="G17" i="6"/>
  <c r="F17" i="6"/>
  <c r="E17" i="6"/>
  <c r="D17" i="6"/>
  <c r="C17" i="6"/>
  <c r="B17" i="6"/>
  <c r="I16" i="6"/>
  <c r="H16" i="6"/>
  <c r="G16" i="6"/>
  <c r="F16" i="6"/>
  <c r="E16" i="6"/>
  <c r="D16" i="6"/>
  <c r="C16" i="6"/>
  <c r="B16" i="6"/>
  <c r="C16" i="4"/>
  <c r="D16" i="4"/>
  <c r="E16" i="4"/>
  <c r="F16" i="4"/>
  <c r="G16" i="4"/>
  <c r="H16" i="4"/>
  <c r="I16" i="4"/>
  <c r="J16" i="4"/>
  <c r="C17" i="4"/>
  <c r="D17" i="4"/>
  <c r="E17" i="4"/>
  <c r="F17" i="4"/>
  <c r="G17" i="4"/>
  <c r="H17" i="4"/>
  <c r="I17" i="4"/>
  <c r="J17" i="4"/>
  <c r="C18" i="4"/>
  <c r="D18" i="4"/>
  <c r="E18" i="4"/>
  <c r="F18" i="4"/>
  <c r="G18" i="4"/>
  <c r="H18" i="4"/>
  <c r="I18" i="4"/>
  <c r="J18" i="4"/>
  <c r="C19" i="4"/>
  <c r="D19" i="4"/>
  <c r="E19" i="4"/>
  <c r="F19" i="4"/>
  <c r="G19" i="4"/>
  <c r="H19" i="4"/>
  <c r="I19" i="4"/>
  <c r="J19" i="4"/>
  <c r="D20" i="4"/>
  <c r="E20" i="4"/>
  <c r="F20" i="4"/>
  <c r="G20" i="4"/>
  <c r="H20" i="4"/>
  <c r="I20" i="4"/>
  <c r="J20" i="4"/>
  <c r="B17" i="4"/>
  <c r="B18" i="4"/>
  <c r="B16" i="4"/>
</calcChain>
</file>

<file path=xl/sharedStrings.xml><?xml version="1.0" encoding="utf-8"?>
<sst xmlns="http://schemas.openxmlformats.org/spreadsheetml/2006/main" count="4" uniqueCount="2">
  <si>
    <t>Pele</t>
  </si>
  <si>
    <t>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</si>
</sst>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F470-FBFA-4B69-88B4-89F9BDFB4306}">
  <dimension ref="A1:K8"/>
  <sheetViews>
    <sheetView workbookViewId="0">
      <selection activeCell="H13" sqref="H13"/>
    </sheetView>
  </sheetViews>
  <sheetFormatPr baseColWidth="10" defaultRowHeight="14.5" x14ac:dyDescent="0.35"/>
  <sheetData>
    <row r="1" spans="1:11" x14ac:dyDescent="0.35">
      <c r="A1">
        <v>0</v>
      </c>
      <c r="B1">
        <v>253.15</v>
      </c>
      <c r="C1">
        <v>258.14999999999998</v>
      </c>
      <c r="D1">
        <v>266.14999999999998</v>
      </c>
      <c r="E1">
        <v>275.14999999999998</v>
      </c>
      <c r="F1">
        <v>280.14999999999998</v>
      </c>
      <c r="G1">
        <v>283.14999999999998</v>
      </c>
      <c r="H1">
        <v>293.14999999999998</v>
      </c>
      <c r="I1">
        <v>303.14999999999998</v>
      </c>
      <c r="J1">
        <v>308.14999999999998</v>
      </c>
      <c r="K1">
        <v>318.14999999999998</v>
      </c>
    </row>
    <row r="2" spans="1:11" x14ac:dyDescent="0.35">
      <c r="A2">
        <v>293.14999999999998</v>
      </c>
      <c r="B2">
        <v>2.1099624060150375</v>
      </c>
      <c r="C2">
        <v>2.3100983020554064</v>
      </c>
      <c r="D2">
        <v>2.7003338898163607</v>
      </c>
      <c r="E2">
        <v>3.7002724795640325</v>
      </c>
      <c r="F2">
        <v>4.8989589712186161</v>
      </c>
      <c r="G2">
        <v>5.0897308075772685</v>
      </c>
      <c r="H2">
        <v>7.1686046511627906</v>
      </c>
      <c r="I2">
        <v>8.4027303754266214</v>
      </c>
      <c r="J2">
        <v>8.4017971758664949</v>
      </c>
      <c r="K2">
        <v>8.4017971758664949</v>
      </c>
    </row>
    <row r="3" spans="1:11" x14ac:dyDescent="0.35">
      <c r="A3">
        <v>308.14999999999998</v>
      </c>
      <c r="B3">
        <v>2.1099624060150375</v>
      </c>
      <c r="C3">
        <v>2.3100983020554064</v>
      </c>
      <c r="D3">
        <v>2.7003338898163607</v>
      </c>
      <c r="E3">
        <v>3.7002724795640325</v>
      </c>
      <c r="F3">
        <v>4.8989589712186161</v>
      </c>
      <c r="G3">
        <v>5.0897308075772685</v>
      </c>
      <c r="H3">
        <v>7.1686046511627906</v>
      </c>
      <c r="I3">
        <v>8.4027303754266214</v>
      </c>
      <c r="J3">
        <v>8.4017971758664949</v>
      </c>
      <c r="K3">
        <v>8.4017971758664949</v>
      </c>
    </row>
    <row r="4" spans="1:11" x14ac:dyDescent="0.35">
      <c r="A4">
        <v>318.14999999999998</v>
      </c>
      <c r="B4">
        <v>1.8399304045237059</v>
      </c>
      <c r="C4">
        <v>2.0399666944213157</v>
      </c>
      <c r="D4">
        <v>2.3703142748958728</v>
      </c>
      <c r="E4">
        <v>3.1201104463874829</v>
      </c>
      <c r="F4">
        <v>3.7299465240641712</v>
      </c>
      <c r="G4">
        <v>4.0495532087733546</v>
      </c>
      <c r="H4">
        <v>5.459715639810427</v>
      </c>
      <c r="I4">
        <v>7.520184544405998</v>
      </c>
      <c r="J4">
        <v>7.9797979797979801</v>
      </c>
      <c r="K4">
        <v>7.9797979797979801</v>
      </c>
    </row>
    <row r="5" spans="1:11" x14ac:dyDescent="0.35">
      <c r="A5">
        <v>328.15</v>
      </c>
      <c r="B5">
        <v>1.6399132321041214</v>
      </c>
      <c r="C5">
        <v>1.7901938426453821</v>
      </c>
      <c r="D5">
        <v>2.080027595722663</v>
      </c>
      <c r="E5">
        <v>2.7396710790212597</v>
      </c>
      <c r="F5">
        <v>3.1397527163731733</v>
      </c>
      <c r="G5">
        <v>3.4099485420240137</v>
      </c>
      <c r="H5">
        <v>4.4992175273865413</v>
      </c>
      <c r="I5">
        <v>6.0397412199630311</v>
      </c>
      <c r="J5">
        <v>6.2998558385391634</v>
      </c>
      <c r="K5">
        <v>6.2998558385391634</v>
      </c>
    </row>
    <row r="6" spans="1:11" x14ac:dyDescent="0.35">
      <c r="A6">
        <v>338.15</v>
      </c>
      <c r="B6">
        <v>1</v>
      </c>
      <c r="C6">
        <v>1.5600393700787401</v>
      </c>
      <c r="D6">
        <v>1.8603712671509283</v>
      </c>
      <c r="E6">
        <v>2.2898550724637681</v>
      </c>
      <c r="F6">
        <v>2.630048465266559</v>
      </c>
      <c r="G6">
        <v>2.8296296296296295</v>
      </c>
      <c r="H6">
        <v>3.6596434359805512</v>
      </c>
      <c r="I6">
        <v>4.7996826656088851</v>
      </c>
      <c r="J6">
        <v>4.8506571087216246</v>
      </c>
      <c r="K6">
        <v>4.8506571087216246</v>
      </c>
    </row>
    <row r="7" spans="1:11" x14ac:dyDescent="0.35">
      <c r="A7">
        <v>343.15</v>
      </c>
      <c r="B7">
        <v>1</v>
      </c>
      <c r="C7">
        <v>1</v>
      </c>
      <c r="D7">
        <v>1.7401181281235802</v>
      </c>
      <c r="E7">
        <v>2.0600222304557243</v>
      </c>
      <c r="F7">
        <v>2.3802067021609772</v>
      </c>
      <c r="G7">
        <v>2.5603296056503826</v>
      </c>
      <c r="H7">
        <v>3.3903903903903903</v>
      </c>
      <c r="I7">
        <v>4.4294826364280651</v>
      </c>
      <c r="J7">
        <v>4.469293574724885</v>
      </c>
      <c r="K7">
        <v>4.469293574724885</v>
      </c>
    </row>
    <row r="8" spans="1:11" x14ac:dyDescent="0.35">
      <c r="A8">
        <v>348.15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4D48-2271-40C9-9CF8-729998A0B5BA}">
  <dimension ref="A1:J6"/>
  <sheetViews>
    <sheetView workbookViewId="0">
      <selection activeCell="I7" sqref="I7"/>
    </sheetView>
  </sheetViews>
  <sheetFormatPr baseColWidth="10" defaultRowHeight="14.5" x14ac:dyDescent="0.35"/>
  <sheetData>
    <row r="1" spans="1:10" x14ac:dyDescent="0.35">
      <c r="A1">
        <v>0</v>
      </c>
      <c r="B1">
        <v>253.15</v>
      </c>
      <c r="C1">
        <v>258.14999999999998</v>
      </c>
      <c r="D1">
        <v>266.14999999999998</v>
      </c>
      <c r="E1">
        <v>275.14999999999998</v>
      </c>
      <c r="F1">
        <v>280.14999999999998</v>
      </c>
      <c r="G1">
        <v>283.14999999999998</v>
      </c>
      <c r="H1">
        <v>293.14999999999998</v>
      </c>
      <c r="I1">
        <v>303.14999999999998</v>
      </c>
      <c r="J1">
        <v>308.14999999999998</v>
      </c>
    </row>
    <row r="2" spans="1:10" x14ac:dyDescent="0.35">
      <c r="A2">
        <v>308.14999999999998</v>
      </c>
      <c r="B2">
        <v>2.3900000000035586</v>
      </c>
      <c r="C2">
        <v>2.6599999996762396</v>
      </c>
      <c r="D2">
        <v>3.160000000169402</v>
      </c>
      <c r="E2">
        <v>4.4600000002033182</v>
      </c>
      <c r="F2">
        <v>5.3099999989249396</v>
      </c>
      <c r="G2">
        <v>5.8500000000738543</v>
      </c>
      <c r="H2">
        <v>8.5500000013405781</v>
      </c>
      <c r="I2">
        <v>8.8700000011323574</v>
      </c>
      <c r="J2">
        <v>8.8700000011323574</v>
      </c>
    </row>
    <row r="3" spans="1:10" x14ac:dyDescent="0.35">
      <c r="A3">
        <v>318.14999999999998</v>
      </c>
      <c r="B3">
        <v>2.050000000178402</v>
      </c>
      <c r="C3">
        <v>2.2699999998166098</v>
      </c>
      <c r="D3">
        <v>2.6700000000649005</v>
      </c>
      <c r="E3">
        <v>3.5500000001979619</v>
      </c>
      <c r="F3">
        <v>4.1399999994825007</v>
      </c>
      <c r="G3">
        <v>4.5199999997128861</v>
      </c>
      <c r="H3">
        <v>6.1799999995176167</v>
      </c>
      <c r="I3">
        <v>9.0700000008019206</v>
      </c>
      <c r="J3">
        <v>9.0699999983535395</v>
      </c>
    </row>
    <row r="4" spans="1:10" x14ac:dyDescent="0.35">
      <c r="A4">
        <v>328.15</v>
      </c>
      <c r="B4">
        <v>1.6199999998835484</v>
      </c>
      <c r="C4">
        <v>1.7999999998487395</v>
      </c>
      <c r="D4">
        <v>2.129999999830547</v>
      </c>
      <c r="E4">
        <v>2.6000000002871873</v>
      </c>
      <c r="F4">
        <v>2.9700000001903684</v>
      </c>
      <c r="G4">
        <v>3.2399999997094167</v>
      </c>
      <c r="H4">
        <v>4.5399999999170015</v>
      </c>
      <c r="I4">
        <v>6.029999999856698</v>
      </c>
      <c r="J4">
        <v>6.029999999257269</v>
      </c>
    </row>
    <row r="5" spans="1:10" x14ac:dyDescent="0.35">
      <c r="A5">
        <v>338.15</v>
      </c>
      <c r="C5">
        <v>1.8100000002295578</v>
      </c>
      <c r="D5">
        <v>2.1099999998602974</v>
      </c>
      <c r="E5">
        <v>2.4799999998540101</v>
      </c>
      <c r="F5">
        <v>2.810000000144723</v>
      </c>
      <c r="G5">
        <v>3.0000000002021294</v>
      </c>
      <c r="H5">
        <v>3.7399999999918005</v>
      </c>
      <c r="I5">
        <v>4.7400000003922385</v>
      </c>
      <c r="J5">
        <v>4.7400000003922385</v>
      </c>
    </row>
    <row r="6" spans="1:10" x14ac:dyDescent="0.35">
      <c r="A6">
        <v>343.15</v>
      </c>
      <c r="D6">
        <v>1.989999999976017</v>
      </c>
      <c r="E6">
        <v>2.2400000000000002</v>
      </c>
      <c r="F6">
        <v>2.5299999999319644</v>
      </c>
      <c r="G6">
        <v>2.6900000001700426</v>
      </c>
      <c r="H6">
        <v>3.3</v>
      </c>
      <c r="I6">
        <v>4.0899999998462038</v>
      </c>
      <c r="J6">
        <v>4.0899999997481142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86A3-B620-4D83-AFE2-CC2CD630030B}">
  <dimension ref="A1:J6"/>
  <sheetViews>
    <sheetView workbookViewId="0">
      <selection activeCell="B8" sqref="B8"/>
    </sheetView>
  </sheetViews>
  <sheetFormatPr baseColWidth="10" defaultRowHeight="14.5" x14ac:dyDescent="0.35"/>
  <sheetData>
    <row r="1" spans="1:10" x14ac:dyDescent="0.35">
      <c r="A1">
        <v>0</v>
      </c>
      <c r="B1">
        <v>253.15</v>
      </c>
      <c r="C1">
        <v>258.14999999999998</v>
      </c>
      <c r="D1">
        <v>266.14999999999998</v>
      </c>
      <c r="E1">
        <v>275.14999999999998</v>
      </c>
      <c r="F1">
        <v>280.14999999999998</v>
      </c>
      <c r="G1">
        <v>283.14999999999998</v>
      </c>
      <c r="H1">
        <v>293.14999999999998</v>
      </c>
      <c r="I1">
        <v>303.14999999999998</v>
      </c>
      <c r="J1">
        <v>308.14999999999998</v>
      </c>
    </row>
    <row r="2" spans="1:10" x14ac:dyDescent="0.35">
      <c r="A2">
        <v>308.14999999999998</v>
      </c>
      <c r="B2">
        <v>6716</v>
      </c>
      <c r="C2">
        <v>7723</v>
      </c>
      <c r="D2">
        <v>9700</v>
      </c>
      <c r="E2">
        <v>10968</v>
      </c>
      <c r="F2">
        <v>11953</v>
      </c>
      <c r="G2">
        <v>15842</v>
      </c>
      <c r="H2">
        <v>20728</v>
      </c>
      <c r="I2">
        <v>22403</v>
      </c>
      <c r="J2">
        <v>22403</v>
      </c>
    </row>
    <row r="3" spans="1:10" x14ac:dyDescent="0.35">
      <c r="A3">
        <v>318.14999999999998</v>
      </c>
      <c r="B3">
        <v>6320</v>
      </c>
      <c r="C3">
        <v>7303</v>
      </c>
      <c r="D3">
        <v>8228</v>
      </c>
      <c r="E3">
        <v>9863</v>
      </c>
      <c r="F3">
        <v>10720</v>
      </c>
      <c r="G3">
        <v>13224</v>
      </c>
      <c r="H3">
        <v>20242</v>
      </c>
      <c r="I3">
        <v>22960</v>
      </c>
      <c r="J3">
        <v>23192</v>
      </c>
    </row>
    <row r="4" spans="1:10" x14ac:dyDescent="0.35">
      <c r="A4">
        <v>328.15</v>
      </c>
      <c r="B4">
        <v>6121</v>
      </c>
      <c r="C4">
        <v>7140</v>
      </c>
      <c r="D4">
        <v>9176</v>
      </c>
      <c r="E4">
        <v>10864</v>
      </c>
      <c r="F4">
        <v>11857</v>
      </c>
      <c r="G4">
        <v>15164</v>
      </c>
      <c r="H4">
        <v>19692</v>
      </c>
      <c r="I4">
        <v>21881</v>
      </c>
      <c r="J4">
        <v>22164</v>
      </c>
    </row>
    <row r="5" spans="1:10" x14ac:dyDescent="0.35">
      <c r="A5">
        <v>338.15</v>
      </c>
      <c r="B5">
        <v>4242</v>
      </c>
      <c r="C5">
        <v>5677</v>
      </c>
      <c r="D5">
        <v>8609</v>
      </c>
      <c r="E5">
        <v>10872</v>
      </c>
      <c r="F5">
        <v>11844</v>
      </c>
      <c r="G5">
        <v>14842</v>
      </c>
      <c r="H5">
        <v>18245</v>
      </c>
      <c r="I5">
        <v>21027</v>
      </c>
      <c r="J5">
        <v>21027</v>
      </c>
    </row>
    <row r="6" spans="1:10" x14ac:dyDescent="0.35">
      <c r="A6">
        <v>343.15</v>
      </c>
      <c r="C6">
        <v>3976</v>
      </c>
      <c r="D6">
        <v>6638</v>
      </c>
      <c r="E6">
        <v>9331</v>
      </c>
      <c r="F6">
        <v>10784</v>
      </c>
      <c r="G6">
        <v>13763</v>
      </c>
      <c r="H6">
        <v>16830</v>
      </c>
      <c r="I6">
        <v>20743</v>
      </c>
      <c r="J6">
        <v>20784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J15" sqref="J15"/>
    </sheetView>
  </sheetViews>
  <sheetFormatPr baseColWidth="10" defaultRowHeight="14.5" x14ac:dyDescent="0.35"/>
  <sheetData>
    <row r="1" spans="1:10" x14ac:dyDescent="0.35">
      <c r="A1">
        <v>0</v>
      </c>
      <c r="B1">
        <v>253.15</v>
      </c>
      <c r="C1">
        <v>258.14999999999998</v>
      </c>
      <c r="D1">
        <v>266.14999999999998</v>
      </c>
      <c r="E1">
        <v>275.14999999999998</v>
      </c>
      <c r="F1">
        <v>280.14999999999998</v>
      </c>
      <c r="G1">
        <v>283.14999999999998</v>
      </c>
      <c r="H1">
        <v>293.14999999999998</v>
      </c>
      <c r="I1">
        <v>303.14999999999998</v>
      </c>
      <c r="J1">
        <v>308.14999999999998</v>
      </c>
    </row>
    <row r="2" spans="1:10" x14ac:dyDescent="0.35">
      <c r="A2">
        <v>308.14999999999998</v>
      </c>
      <c r="B2">
        <v>2.1099624060150375</v>
      </c>
      <c r="C2">
        <v>2.3100983020554064</v>
      </c>
      <c r="D2">
        <v>2.7003338898163607</v>
      </c>
      <c r="E2">
        <v>3.7002724795640325</v>
      </c>
      <c r="F2">
        <v>4.8989589712186161</v>
      </c>
      <c r="G2">
        <v>5.0897308075772685</v>
      </c>
      <c r="H2">
        <v>7.1686046511627906</v>
      </c>
      <c r="I2">
        <v>8.4027303754266214</v>
      </c>
      <c r="J2">
        <v>8.4017971758664949</v>
      </c>
    </row>
    <row r="3" spans="1:10" x14ac:dyDescent="0.35">
      <c r="A3">
        <v>318.14999999999998</v>
      </c>
      <c r="B3">
        <v>1.8399304045237059</v>
      </c>
      <c r="C3">
        <v>2.0399666944213157</v>
      </c>
      <c r="D3">
        <v>2.3703142748958728</v>
      </c>
      <c r="E3">
        <v>3.1201104463874829</v>
      </c>
      <c r="F3">
        <v>3.7299465240641712</v>
      </c>
      <c r="G3">
        <v>4.0495532087733546</v>
      </c>
      <c r="H3">
        <v>5.459715639810427</v>
      </c>
      <c r="I3">
        <v>7.520184544405998</v>
      </c>
      <c r="J3">
        <v>7.9797979797979801</v>
      </c>
    </row>
    <row r="4" spans="1:10" x14ac:dyDescent="0.35">
      <c r="A4">
        <v>328.15</v>
      </c>
      <c r="B4">
        <v>1.6399132321041214</v>
      </c>
      <c r="C4">
        <v>1.7901938426453821</v>
      </c>
      <c r="D4">
        <v>2.080027595722663</v>
      </c>
      <c r="E4">
        <v>2.7396710790212597</v>
      </c>
      <c r="F4">
        <v>3.1397527163731733</v>
      </c>
      <c r="G4">
        <v>3.4099485420240137</v>
      </c>
      <c r="H4">
        <v>4.4992175273865413</v>
      </c>
      <c r="I4">
        <v>6.0397412199630311</v>
      </c>
      <c r="J4">
        <v>6.2998558385391634</v>
      </c>
    </row>
    <row r="5" spans="1:10" x14ac:dyDescent="0.35">
      <c r="A5">
        <v>338.15</v>
      </c>
      <c r="B5">
        <v>1</v>
      </c>
      <c r="C5">
        <v>1.5600393700787401</v>
      </c>
      <c r="D5">
        <v>1.8603712671509283</v>
      </c>
      <c r="E5">
        <v>2.2898550724637681</v>
      </c>
      <c r="F5">
        <v>2.630048465266559</v>
      </c>
      <c r="G5">
        <v>2.8296296296296295</v>
      </c>
      <c r="H5">
        <v>3.6596434359805512</v>
      </c>
      <c r="I5">
        <v>4.7996826656088851</v>
      </c>
      <c r="J5">
        <v>4.8506571087216246</v>
      </c>
    </row>
    <row r="6" spans="1:10" x14ac:dyDescent="0.35">
      <c r="A6">
        <v>343.15</v>
      </c>
      <c r="B6">
        <v>1</v>
      </c>
      <c r="C6">
        <v>1</v>
      </c>
      <c r="D6">
        <v>1.7401181281235802</v>
      </c>
      <c r="E6">
        <v>2.0600222304557243</v>
      </c>
      <c r="F6">
        <v>2.3802067021609772</v>
      </c>
      <c r="G6">
        <v>2.5603296056503826</v>
      </c>
      <c r="H6">
        <v>3.3903903903903903</v>
      </c>
      <c r="I6">
        <v>4.4294826364280651</v>
      </c>
      <c r="J6">
        <v>4.469293574724885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B6" sqref="B6"/>
    </sheetView>
  </sheetViews>
  <sheetFormatPr baseColWidth="10" defaultRowHeight="14.5" x14ac:dyDescent="0.35"/>
  <sheetData>
    <row r="1" spans="1:10" x14ac:dyDescent="0.35">
      <c r="A1">
        <v>0</v>
      </c>
      <c r="B1">
        <v>253.15</v>
      </c>
      <c r="C1">
        <v>258.14999999999998</v>
      </c>
      <c r="D1">
        <v>266.14999999999998</v>
      </c>
      <c r="E1">
        <v>275.14999999999998</v>
      </c>
      <c r="F1">
        <v>280.14999999999998</v>
      </c>
      <c r="G1">
        <v>283.14999999999998</v>
      </c>
      <c r="H1">
        <v>293.14999999999998</v>
      </c>
      <c r="I1">
        <v>303.14999999999998</v>
      </c>
      <c r="J1">
        <v>308.14999999999998</v>
      </c>
    </row>
    <row r="2" spans="1:10" x14ac:dyDescent="0.35">
      <c r="A2">
        <v>308.14999999999998</v>
      </c>
      <c r="B2">
        <v>4490</v>
      </c>
      <c r="C2">
        <v>5170</v>
      </c>
      <c r="D2">
        <v>6470</v>
      </c>
      <c r="E2">
        <v>6790</v>
      </c>
      <c r="F2">
        <v>8000</v>
      </c>
      <c r="G2">
        <v>10210</v>
      </c>
      <c r="H2">
        <v>12330</v>
      </c>
      <c r="I2">
        <v>12310</v>
      </c>
      <c r="J2">
        <v>13090</v>
      </c>
    </row>
    <row r="3" spans="1:10" x14ac:dyDescent="0.35">
      <c r="A3">
        <v>318.14999999999998</v>
      </c>
      <c r="B3">
        <v>4230</v>
      </c>
      <c r="C3">
        <v>4900</v>
      </c>
      <c r="D3">
        <v>6260</v>
      </c>
      <c r="E3">
        <v>6780</v>
      </c>
      <c r="F3">
        <v>8370</v>
      </c>
      <c r="G3">
        <v>9970</v>
      </c>
      <c r="H3">
        <v>11520</v>
      </c>
      <c r="I3">
        <v>13040</v>
      </c>
      <c r="J3">
        <v>12640</v>
      </c>
    </row>
    <row r="4" spans="1:10" x14ac:dyDescent="0.35">
      <c r="A4">
        <v>328.15</v>
      </c>
      <c r="B4">
        <v>3780</v>
      </c>
      <c r="C4">
        <v>4710</v>
      </c>
      <c r="D4">
        <v>6030</v>
      </c>
      <c r="E4">
        <v>6830</v>
      </c>
      <c r="F4">
        <v>8380</v>
      </c>
      <c r="G4">
        <v>9940</v>
      </c>
      <c r="H4">
        <v>11500</v>
      </c>
      <c r="I4">
        <v>13070</v>
      </c>
      <c r="J4">
        <v>13110</v>
      </c>
    </row>
    <row r="5" spans="1:10" x14ac:dyDescent="0.35">
      <c r="A5">
        <v>338.15</v>
      </c>
      <c r="B5">
        <v>2600</v>
      </c>
      <c r="C5">
        <v>3170</v>
      </c>
      <c r="D5">
        <v>4610</v>
      </c>
      <c r="E5">
        <v>6320</v>
      </c>
      <c r="F5">
        <v>8140</v>
      </c>
      <c r="G5">
        <v>9550</v>
      </c>
      <c r="H5">
        <v>11290</v>
      </c>
      <c r="I5">
        <v>12100</v>
      </c>
      <c r="J5">
        <v>12180</v>
      </c>
    </row>
    <row r="6" spans="1:10" x14ac:dyDescent="0.35">
      <c r="A6">
        <v>343.15</v>
      </c>
      <c r="B6">
        <v>2300</v>
      </c>
      <c r="C6">
        <v>3000</v>
      </c>
      <c r="D6">
        <v>3830</v>
      </c>
      <c r="E6">
        <v>5560</v>
      </c>
      <c r="F6">
        <v>7600</v>
      </c>
      <c r="G6">
        <v>8700</v>
      </c>
      <c r="H6">
        <v>11290</v>
      </c>
      <c r="I6">
        <v>12500</v>
      </c>
      <c r="J6">
        <v>12590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C6B4-4805-4D2D-8571-2984D6F01618}">
  <dimension ref="A1:U22"/>
  <sheetViews>
    <sheetView workbookViewId="0">
      <selection activeCell="K33" sqref="K33"/>
    </sheetView>
  </sheetViews>
  <sheetFormatPr baseColWidth="10" defaultRowHeight="14.5" x14ac:dyDescent="0.35"/>
  <sheetData>
    <row r="1" spans="1:21" x14ac:dyDescent="0.35">
      <c r="A1">
        <v>0</v>
      </c>
      <c r="B1">
        <v>253.15</v>
      </c>
      <c r="C1">
        <v>258.14999999999998</v>
      </c>
      <c r="D1">
        <v>266.14999999999998</v>
      </c>
      <c r="E1">
        <v>275.14999999999998</v>
      </c>
      <c r="F1">
        <v>280.14999999999998</v>
      </c>
      <c r="G1">
        <v>283.14999999999998</v>
      </c>
      <c r="H1">
        <v>293.14999999999998</v>
      </c>
      <c r="I1">
        <v>303.14999999999998</v>
      </c>
      <c r="J1">
        <v>308.14999999999998</v>
      </c>
      <c r="K1">
        <v>0</v>
      </c>
      <c r="L1">
        <v>-20</v>
      </c>
      <c r="M1">
        <v>-15</v>
      </c>
      <c r="N1">
        <v>-10</v>
      </c>
      <c r="O1">
        <v>-7</v>
      </c>
      <c r="P1">
        <v>2</v>
      </c>
      <c r="Q1">
        <v>7</v>
      </c>
      <c r="R1">
        <v>10</v>
      </c>
      <c r="S1">
        <v>20</v>
      </c>
      <c r="T1">
        <v>30</v>
      </c>
      <c r="U1">
        <v>35</v>
      </c>
    </row>
    <row r="2" spans="1:21" x14ac:dyDescent="0.35">
      <c r="A2">
        <v>308.14999999999998</v>
      </c>
      <c r="B2">
        <v>6716</v>
      </c>
      <c r="C2">
        <v>7723</v>
      </c>
      <c r="D2">
        <v>9700</v>
      </c>
      <c r="E2">
        <v>10968</v>
      </c>
      <c r="F2">
        <v>11953</v>
      </c>
      <c r="G2">
        <v>15842</v>
      </c>
      <c r="H2">
        <v>20728</v>
      </c>
      <c r="I2">
        <v>22403</v>
      </c>
      <c r="J2">
        <v>22403</v>
      </c>
      <c r="K2">
        <v>35</v>
      </c>
      <c r="L2">
        <v>6716</v>
      </c>
      <c r="M2">
        <v>7723</v>
      </c>
      <c r="N2">
        <v>8958.625</v>
      </c>
      <c r="O2">
        <v>9700</v>
      </c>
      <c r="P2">
        <v>10968</v>
      </c>
      <c r="Q2">
        <v>11953</v>
      </c>
      <c r="R2">
        <v>15842</v>
      </c>
      <c r="S2">
        <v>20728</v>
      </c>
      <c r="T2">
        <v>22403</v>
      </c>
      <c r="U2">
        <v>22403</v>
      </c>
    </row>
    <row r="3" spans="1:21" x14ac:dyDescent="0.35">
      <c r="A3">
        <v>318.14999999999998</v>
      </c>
      <c r="B3">
        <v>6320</v>
      </c>
      <c r="C3">
        <v>7303</v>
      </c>
      <c r="D3">
        <v>8228</v>
      </c>
      <c r="E3">
        <v>9863</v>
      </c>
      <c r="F3">
        <v>10720</v>
      </c>
      <c r="G3">
        <v>13224</v>
      </c>
      <c r="H3">
        <v>20242</v>
      </c>
      <c r="I3">
        <v>22960</v>
      </c>
      <c r="J3">
        <v>23192</v>
      </c>
      <c r="K3">
        <v>45</v>
      </c>
      <c r="L3">
        <v>6320</v>
      </c>
      <c r="M3">
        <v>7303</v>
      </c>
      <c r="N3">
        <v>7881.125</v>
      </c>
      <c r="O3">
        <v>8228</v>
      </c>
      <c r="P3">
        <v>9863</v>
      </c>
      <c r="Q3">
        <v>10720</v>
      </c>
      <c r="R3">
        <v>13224</v>
      </c>
      <c r="S3">
        <v>20242</v>
      </c>
      <c r="T3">
        <v>22960</v>
      </c>
      <c r="U3">
        <v>23192</v>
      </c>
    </row>
    <row r="4" spans="1:21" x14ac:dyDescent="0.35">
      <c r="A4">
        <v>328.15</v>
      </c>
      <c r="B4">
        <v>6121</v>
      </c>
      <c r="C4">
        <v>7140</v>
      </c>
      <c r="D4">
        <v>9176</v>
      </c>
      <c r="E4">
        <v>10864</v>
      </c>
      <c r="F4">
        <v>11857</v>
      </c>
      <c r="G4">
        <v>15164</v>
      </c>
      <c r="H4">
        <v>19692</v>
      </c>
      <c r="I4">
        <v>21881</v>
      </c>
      <c r="J4">
        <v>22164</v>
      </c>
      <c r="K4">
        <v>55</v>
      </c>
      <c r="L4">
        <v>6121</v>
      </c>
      <c r="M4">
        <v>7140</v>
      </c>
      <c r="N4">
        <v>8412.5</v>
      </c>
      <c r="O4">
        <v>9176</v>
      </c>
      <c r="P4">
        <v>10864</v>
      </c>
      <c r="Q4">
        <v>11857</v>
      </c>
      <c r="R4">
        <v>15164</v>
      </c>
      <c r="S4">
        <v>19692</v>
      </c>
      <c r="T4">
        <v>21881</v>
      </c>
      <c r="U4">
        <v>22164</v>
      </c>
    </row>
    <row r="5" spans="1:21" x14ac:dyDescent="0.35">
      <c r="A5">
        <v>338.15</v>
      </c>
      <c r="B5">
        <v>4242</v>
      </c>
      <c r="C5">
        <v>5677</v>
      </c>
      <c r="D5">
        <v>8609</v>
      </c>
      <c r="E5">
        <v>10872</v>
      </c>
      <c r="F5">
        <v>11844</v>
      </c>
      <c r="G5">
        <v>14842</v>
      </c>
      <c r="H5">
        <v>18245</v>
      </c>
      <c r="I5">
        <v>21027</v>
      </c>
      <c r="J5">
        <v>21027</v>
      </c>
      <c r="K5">
        <v>65</v>
      </c>
      <c r="L5">
        <v>4242</v>
      </c>
      <c r="M5">
        <v>5677</v>
      </c>
      <c r="N5">
        <v>7509.5</v>
      </c>
      <c r="O5">
        <v>8609</v>
      </c>
      <c r="P5">
        <v>10872</v>
      </c>
      <c r="Q5">
        <v>11844</v>
      </c>
      <c r="R5">
        <v>14842</v>
      </c>
      <c r="S5">
        <v>18245</v>
      </c>
      <c r="T5">
        <v>21027</v>
      </c>
      <c r="U5">
        <v>21027</v>
      </c>
    </row>
    <row r="6" spans="1:21" x14ac:dyDescent="0.35">
      <c r="A6">
        <v>343.15</v>
      </c>
      <c r="B6">
        <v>0</v>
      </c>
      <c r="C6">
        <v>3976</v>
      </c>
      <c r="D6">
        <v>6638</v>
      </c>
      <c r="E6">
        <v>9331</v>
      </c>
      <c r="F6">
        <v>10784</v>
      </c>
      <c r="G6">
        <v>13763</v>
      </c>
      <c r="H6">
        <v>16830</v>
      </c>
      <c r="I6">
        <v>20743</v>
      </c>
      <c r="J6">
        <v>20784</v>
      </c>
      <c r="K6">
        <v>70</v>
      </c>
      <c r="L6">
        <v>0</v>
      </c>
      <c r="M6">
        <v>3976</v>
      </c>
      <c r="N6">
        <v>5639.75</v>
      </c>
      <c r="O6">
        <v>6638</v>
      </c>
      <c r="P6">
        <v>9331</v>
      </c>
      <c r="Q6">
        <v>10784</v>
      </c>
      <c r="R6">
        <v>13763</v>
      </c>
      <c r="S6">
        <v>16830</v>
      </c>
      <c r="T6">
        <v>20743</v>
      </c>
      <c r="U6">
        <v>20784</v>
      </c>
    </row>
    <row r="8" spans="1:21" x14ac:dyDescent="0.35">
      <c r="A8" t="s">
        <v>0</v>
      </c>
      <c r="B8">
        <v>253.15</v>
      </c>
      <c r="C8">
        <v>258.14999999999998</v>
      </c>
      <c r="D8">
        <v>266.14999999999998</v>
      </c>
      <c r="E8">
        <v>275.14999999999998</v>
      </c>
      <c r="F8">
        <v>280.14999999999998</v>
      </c>
      <c r="G8">
        <v>283.14999999999998</v>
      </c>
      <c r="H8">
        <v>293.14999999999998</v>
      </c>
      <c r="I8">
        <v>303.14999999999998</v>
      </c>
      <c r="J8">
        <v>308.14999999999998</v>
      </c>
    </row>
    <row r="9" spans="1:21" x14ac:dyDescent="0.35">
      <c r="A9">
        <v>308.14999999999998</v>
      </c>
      <c r="B9">
        <v>2810.0418410000002</v>
      </c>
      <c r="C9">
        <v>2903.3834590000001</v>
      </c>
      <c r="D9">
        <v>3069.620253</v>
      </c>
      <c r="E9">
        <v>2459.1928250000001</v>
      </c>
      <c r="F9">
        <v>2251.0357819999999</v>
      </c>
      <c r="G9">
        <v>2708.0341880000001</v>
      </c>
      <c r="H9">
        <v>2424.3274849999998</v>
      </c>
      <c r="I9">
        <v>2525.7046220000002</v>
      </c>
      <c r="J9">
        <v>2525.7046220000002</v>
      </c>
    </row>
    <row r="10" spans="1:21" x14ac:dyDescent="0.35">
      <c r="A10">
        <v>318.14999999999998</v>
      </c>
      <c r="B10">
        <v>3082.926829</v>
      </c>
      <c r="C10">
        <v>3217.180617</v>
      </c>
      <c r="D10">
        <v>3081.6479399999998</v>
      </c>
      <c r="E10">
        <v>2778.309859</v>
      </c>
      <c r="F10">
        <v>2589.3719809999998</v>
      </c>
      <c r="G10">
        <v>2925.6637169999999</v>
      </c>
      <c r="H10">
        <v>3275.4045310000001</v>
      </c>
      <c r="I10">
        <v>2531.4222709999999</v>
      </c>
      <c r="J10">
        <v>2557.0011030000001</v>
      </c>
    </row>
    <row r="11" spans="1:21" x14ac:dyDescent="0.35">
      <c r="A11">
        <v>328.15</v>
      </c>
      <c r="B11">
        <v>3778.3950620000001</v>
      </c>
      <c r="C11">
        <v>3966.666667</v>
      </c>
      <c r="D11">
        <v>4307.981221</v>
      </c>
      <c r="E11">
        <v>4178.4615379999996</v>
      </c>
      <c r="F11">
        <v>3992.2558920000001</v>
      </c>
      <c r="G11">
        <v>4680.2469140000003</v>
      </c>
      <c r="H11">
        <v>4337.4449340000001</v>
      </c>
      <c r="I11">
        <v>3628.6898839999999</v>
      </c>
      <c r="J11">
        <v>3675.6218909999998</v>
      </c>
    </row>
    <row r="12" spans="1:21" x14ac:dyDescent="0.35">
      <c r="A12">
        <v>338.15</v>
      </c>
      <c r="B12">
        <v>2651.25</v>
      </c>
      <c r="C12">
        <v>3136.4640880000002</v>
      </c>
      <c r="D12">
        <v>4080.094787</v>
      </c>
      <c r="E12">
        <v>4383.8709680000002</v>
      </c>
      <c r="F12">
        <v>4214.9466190000003</v>
      </c>
      <c r="G12">
        <v>4947.3333329999996</v>
      </c>
      <c r="H12">
        <v>4878.3422460000002</v>
      </c>
      <c r="I12">
        <v>4436.075949</v>
      </c>
      <c r="J12">
        <v>4436.075949</v>
      </c>
    </row>
    <row r="13" spans="1:21" x14ac:dyDescent="0.35">
      <c r="A13">
        <v>343.15</v>
      </c>
      <c r="B13">
        <v>0</v>
      </c>
      <c r="C13">
        <v>2485</v>
      </c>
      <c r="D13">
        <v>3335.6783919999998</v>
      </c>
      <c r="E13">
        <v>4165.625</v>
      </c>
      <c r="F13">
        <v>4262.4505929999996</v>
      </c>
      <c r="G13">
        <v>5116.3568770000002</v>
      </c>
      <c r="H13">
        <v>5100</v>
      </c>
      <c r="I13">
        <v>5071.6381419999998</v>
      </c>
      <c r="J13">
        <v>5081.6625919999997</v>
      </c>
    </row>
    <row r="15" spans="1:21" x14ac:dyDescent="0.35">
      <c r="A15" t="s">
        <v>1</v>
      </c>
      <c r="B15">
        <v>253.15</v>
      </c>
      <c r="C15">
        <v>258.14999999999998</v>
      </c>
      <c r="D15">
        <v>266.14999999999998</v>
      </c>
      <c r="E15">
        <v>275.14999999999998</v>
      </c>
      <c r="F15">
        <v>280.14999999999998</v>
      </c>
      <c r="G15">
        <v>283.14999999999998</v>
      </c>
      <c r="H15">
        <v>293.14999999999998</v>
      </c>
      <c r="I15">
        <v>303.14999999999998</v>
      </c>
      <c r="J15">
        <v>308.14999999999998</v>
      </c>
    </row>
    <row r="16" spans="1:21" x14ac:dyDescent="0.35">
      <c r="A16">
        <v>308.14999999999998</v>
      </c>
      <c r="B16">
        <f>B2/B9</f>
        <v>2.3900000000035586</v>
      </c>
      <c r="C16">
        <f t="shared" ref="C16:I16" si="0">C2/C9</f>
        <v>2.6599999996762396</v>
      </c>
      <c r="D16">
        <f t="shared" si="0"/>
        <v>3.160000000169402</v>
      </c>
      <c r="E16">
        <f t="shared" si="0"/>
        <v>4.4600000002033182</v>
      </c>
      <c r="F16">
        <f t="shared" si="0"/>
        <v>5.3099999989249396</v>
      </c>
      <c r="G16">
        <f t="shared" si="0"/>
        <v>5.8500000000738543</v>
      </c>
      <c r="H16">
        <f t="shared" si="0"/>
        <v>8.5500000013405781</v>
      </c>
      <c r="I16">
        <f t="shared" si="0"/>
        <v>8.8700000011323574</v>
      </c>
      <c r="J16">
        <f t="shared" ref="J16" si="1">J2/J9</f>
        <v>8.8700000011323574</v>
      </c>
    </row>
    <row r="17" spans="1:10" x14ac:dyDescent="0.35">
      <c r="A17">
        <v>318.14999999999998</v>
      </c>
      <c r="B17">
        <f t="shared" ref="B17:I20" si="2">B3/B10</f>
        <v>2.050000000178402</v>
      </c>
      <c r="C17">
        <f t="shared" si="2"/>
        <v>2.2699999998166098</v>
      </c>
      <c r="D17">
        <f t="shared" si="2"/>
        <v>2.6700000000649005</v>
      </c>
      <c r="E17">
        <f t="shared" si="2"/>
        <v>3.5500000001979619</v>
      </c>
      <c r="F17">
        <f t="shared" si="2"/>
        <v>4.1399999994825007</v>
      </c>
      <c r="G17">
        <f t="shared" si="2"/>
        <v>4.5199999997128861</v>
      </c>
      <c r="H17">
        <f t="shared" si="2"/>
        <v>6.1799999995176167</v>
      </c>
      <c r="I17">
        <f t="shared" si="2"/>
        <v>9.0700000008019206</v>
      </c>
      <c r="J17">
        <f t="shared" ref="J17" si="3">J3/J10</f>
        <v>9.0699999983535395</v>
      </c>
    </row>
    <row r="18" spans="1:10" x14ac:dyDescent="0.35">
      <c r="A18">
        <v>328.15</v>
      </c>
      <c r="B18">
        <f t="shared" si="2"/>
        <v>1.6199999998835484</v>
      </c>
      <c r="C18">
        <f t="shared" si="2"/>
        <v>1.7999999998487395</v>
      </c>
      <c r="D18">
        <f t="shared" si="2"/>
        <v>2.129999999830547</v>
      </c>
      <c r="E18">
        <f t="shared" si="2"/>
        <v>2.6000000002871873</v>
      </c>
      <c r="F18">
        <f t="shared" si="2"/>
        <v>2.9700000001903684</v>
      </c>
      <c r="G18">
        <f t="shared" si="2"/>
        <v>3.2399999997094167</v>
      </c>
      <c r="H18">
        <f t="shared" si="2"/>
        <v>4.5399999999170015</v>
      </c>
      <c r="I18">
        <f t="shared" si="2"/>
        <v>6.029999999856698</v>
      </c>
      <c r="J18">
        <f t="shared" ref="J18" si="4">J4/J11</f>
        <v>6.029999999257269</v>
      </c>
    </row>
    <row r="19" spans="1:10" x14ac:dyDescent="0.35">
      <c r="A19">
        <v>338.15</v>
      </c>
      <c r="C19">
        <f t="shared" si="2"/>
        <v>1.8100000002295578</v>
      </c>
      <c r="D19">
        <f t="shared" si="2"/>
        <v>2.1099999998602974</v>
      </c>
      <c r="E19">
        <f t="shared" si="2"/>
        <v>2.4799999998540101</v>
      </c>
      <c r="F19">
        <f t="shared" si="2"/>
        <v>2.810000000144723</v>
      </c>
      <c r="G19">
        <f t="shared" si="2"/>
        <v>3.0000000002021294</v>
      </c>
      <c r="H19">
        <f t="shared" si="2"/>
        <v>3.7399999999918005</v>
      </c>
      <c r="I19">
        <f t="shared" si="2"/>
        <v>4.7400000003922385</v>
      </c>
      <c r="J19">
        <f t="shared" ref="J19" si="5">J5/J12</f>
        <v>4.7400000003922385</v>
      </c>
    </row>
    <row r="20" spans="1:10" x14ac:dyDescent="0.35">
      <c r="A20">
        <v>343.15</v>
      </c>
      <c r="D20">
        <f t="shared" si="2"/>
        <v>1.989999999976017</v>
      </c>
      <c r="E20">
        <f t="shared" si="2"/>
        <v>2.2400000000000002</v>
      </c>
      <c r="F20">
        <f t="shared" si="2"/>
        <v>2.5299999999319644</v>
      </c>
      <c r="G20">
        <f t="shared" si="2"/>
        <v>2.6900000001700426</v>
      </c>
      <c r="H20">
        <f t="shared" si="2"/>
        <v>3.3</v>
      </c>
      <c r="I20">
        <f t="shared" si="2"/>
        <v>4.0899999998462038</v>
      </c>
      <c r="J20">
        <f t="shared" ref="J20" si="6">J6/J13</f>
        <v>4.0899999997481142</v>
      </c>
    </row>
    <row r="22" spans="1:10" x14ac:dyDescent="0.35">
      <c r="B22">
        <v>-20</v>
      </c>
      <c r="C22">
        <v>-15</v>
      </c>
      <c r="D22">
        <v>-7</v>
      </c>
      <c r="E22">
        <v>2</v>
      </c>
      <c r="F22">
        <v>7</v>
      </c>
      <c r="G22">
        <v>10</v>
      </c>
      <c r="H22">
        <v>20</v>
      </c>
      <c r="I22">
        <v>30</v>
      </c>
      <c r="J22">
        <v>35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79B2-5764-4C79-AEFA-3A450C54BEBE}">
  <dimension ref="A1:J20"/>
  <sheetViews>
    <sheetView workbookViewId="0">
      <selection activeCell="B5" sqref="B5"/>
    </sheetView>
  </sheetViews>
  <sheetFormatPr baseColWidth="10" defaultRowHeight="14.5" x14ac:dyDescent="0.35"/>
  <sheetData>
    <row r="1" spans="1:10" x14ac:dyDescent="0.35">
      <c r="A1">
        <v>0</v>
      </c>
      <c r="B1">
        <v>253.15</v>
      </c>
      <c r="C1">
        <v>258.14999999999998</v>
      </c>
      <c r="D1">
        <v>266.14999999999998</v>
      </c>
      <c r="E1">
        <v>275.14999999999998</v>
      </c>
      <c r="F1">
        <v>280.14999999999998</v>
      </c>
      <c r="G1">
        <v>283.14999999999998</v>
      </c>
      <c r="H1">
        <v>293.14999999999998</v>
      </c>
      <c r="I1">
        <v>303.14999999999998</v>
      </c>
      <c r="J1">
        <v>308.14999999999998</v>
      </c>
    </row>
    <row r="2" spans="1:10" x14ac:dyDescent="0.35">
      <c r="A2">
        <v>308.14999999999998</v>
      </c>
      <c r="B2">
        <v>4490</v>
      </c>
      <c r="C2">
        <v>5170</v>
      </c>
      <c r="D2">
        <v>6470</v>
      </c>
      <c r="E2">
        <v>6790</v>
      </c>
      <c r="F2">
        <v>8000</v>
      </c>
      <c r="G2">
        <v>10210</v>
      </c>
      <c r="H2">
        <v>12330</v>
      </c>
      <c r="I2">
        <v>12310</v>
      </c>
      <c r="J2">
        <v>13090</v>
      </c>
    </row>
    <row r="3" spans="1:10" x14ac:dyDescent="0.35">
      <c r="A3">
        <v>318.14999999999998</v>
      </c>
      <c r="B3">
        <v>4230</v>
      </c>
      <c r="C3">
        <v>4900</v>
      </c>
      <c r="D3">
        <v>6260</v>
      </c>
      <c r="E3">
        <v>6780</v>
      </c>
      <c r="F3">
        <v>8370</v>
      </c>
      <c r="G3">
        <v>9970</v>
      </c>
      <c r="H3">
        <v>11520</v>
      </c>
      <c r="I3">
        <v>13040</v>
      </c>
      <c r="J3">
        <v>12640</v>
      </c>
    </row>
    <row r="4" spans="1:10" x14ac:dyDescent="0.35">
      <c r="A4">
        <v>328.15</v>
      </c>
      <c r="B4">
        <v>3780</v>
      </c>
      <c r="C4">
        <v>4710</v>
      </c>
      <c r="D4">
        <v>6030</v>
      </c>
      <c r="E4">
        <v>6830</v>
      </c>
      <c r="F4">
        <v>8380</v>
      </c>
      <c r="G4">
        <v>9940</v>
      </c>
      <c r="H4">
        <v>11500</v>
      </c>
      <c r="I4">
        <v>13070</v>
      </c>
      <c r="J4">
        <v>13110</v>
      </c>
    </row>
    <row r="5" spans="1:10" x14ac:dyDescent="0.35">
      <c r="A5">
        <v>338.15</v>
      </c>
      <c r="B5">
        <v>0</v>
      </c>
      <c r="C5">
        <v>3170</v>
      </c>
      <c r="D5">
        <v>4610</v>
      </c>
      <c r="E5">
        <v>6320</v>
      </c>
      <c r="F5">
        <v>8140</v>
      </c>
      <c r="G5">
        <v>9550</v>
      </c>
      <c r="H5">
        <v>11290</v>
      </c>
      <c r="I5">
        <v>12100</v>
      </c>
      <c r="J5">
        <v>12180</v>
      </c>
    </row>
    <row r="6" spans="1:10" x14ac:dyDescent="0.35">
      <c r="A6">
        <v>343.15</v>
      </c>
      <c r="B6">
        <v>0</v>
      </c>
      <c r="C6">
        <v>0</v>
      </c>
      <c r="D6">
        <v>3830</v>
      </c>
      <c r="E6">
        <v>5560</v>
      </c>
      <c r="F6">
        <v>7600</v>
      </c>
      <c r="G6">
        <v>8700</v>
      </c>
      <c r="H6">
        <v>11290</v>
      </c>
      <c r="I6">
        <v>12500</v>
      </c>
      <c r="J6">
        <v>12590</v>
      </c>
    </row>
    <row r="8" spans="1:10" x14ac:dyDescent="0.35">
      <c r="A8" t="s">
        <v>0</v>
      </c>
      <c r="B8">
        <v>253.15</v>
      </c>
      <c r="C8">
        <v>258.14999999999998</v>
      </c>
      <c r="D8">
        <v>266.14999999999998</v>
      </c>
      <c r="E8">
        <v>275.14999999999998</v>
      </c>
      <c r="F8">
        <v>280.14999999999998</v>
      </c>
      <c r="G8">
        <v>283.14999999999998</v>
      </c>
      <c r="H8">
        <v>293.14999999999998</v>
      </c>
      <c r="I8">
        <v>303.14999999999998</v>
      </c>
      <c r="J8">
        <v>308.14999999999998</v>
      </c>
    </row>
    <row r="9" spans="1:10" x14ac:dyDescent="0.35">
      <c r="A9">
        <v>308.14999999999998</v>
      </c>
      <c r="B9">
        <v>2128</v>
      </c>
      <c r="C9">
        <v>2238</v>
      </c>
      <c r="D9">
        <v>2396</v>
      </c>
      <c r="E9">
        <v>1835</v>
      </c>
      <c r="F9">
        <v>1633</v>
      </c>
      <c r="G9">
        <v>2006</v>
      </c>
      <c r="H9">
        <v>1720</v>
      </c>
      <c r="I9">
        <v>1465</v>
      </c>
      <c r="J9">
        <v>1558</v>
      </c>
    </row>
    <row r="10" spans="1:10" x14ac:dyDescent="0.35">
      <c r="A10">
        <v>318.14999999999998</v>
      </c>
      <c r="B10">
        <v>2299</v>
      </c>
      <c r="C10">
        <v>2402</v>
      </c>
      <c r="D10">
        <v>2641</v>
      </c>
      <c r="E10">
        <v>2173</v>
      </c>
      <c r="F10">
        <v>2244</v>
      </c>
      <c r="G10">
        <v>2462</v>
      </c>
      <c r="H10">
        <v>2110</v>
      </c>
      <c r="I10">
        <v>1734</v>
      </c>
      <c r="J10">
        <v>1584</v>
      </c>
    </row>
    <row r="11" spans="1:10" x14ac:dyDescent="0.35">
      <c r="A11">
        <v>328.15</v>
      </c>
      <c r="B11">
        <v>2305</v>
      </c>
      <c r="C11">
        <v>2631</v>
      </c>
      <c r="D11">
        <v>2899</v>
      </c>
      <c r="E11">
        <v>2493</v>
      </c>
      <c r="F11">
        <v>2669</v>
      </c>
      <c r="G11">
        <v>2915</v>
      </c>
      <c r="H11">
        <v>2556</v>
      </c>
      <c r="I11">
        <v>2164</v>
      </c>
      <c r="J11">
        <v>2081</v>
      </c>
    </row>
    <row r="12" spans="1:10" x14ac:dyDescent="0.35">
      <c r="A12">
        <v>338.15</v>
      </c>
      <c r="B12">
        <v>0</v>
      </c>
      <c r="C12">
        <v>2032</v>
      </c>
      <c r="D12">
        <v>2478</v>
      </c>
      <c r="E12">
        <v>2760</v>
      </c>
      <c r="F12">
        <v>3095</v>
      </c>
      <c r="G12">
        <v>3375</v>
      </c>
      <c r="H12">
        <v>3085</v>
      </c>
      <c r="I12">
        <v>2521</v>
      </c>
      <c r="J12">
        <v>2511</v>
      </c>
    </row>
    <row r="13" spans="1:10" x14ac:dyDescent="0.35">
      <c r="A13">
        <v>343.15</v>
      </c>
      <c r="B13">
        <v>0</v>
      </c>
      <c r="C13">
        <v>0</v>
      </c>
      <c r="D13">
        <v>2201</v>
      </c>
      <c r="E13">
        <v>2699</v>
      </c>
      <c r="F13">
        <v>3193</v>
      </c>
      <c r="G13">
        <v>3398</v>
      </c>
      <c r="H13">
        <v>3330</v>
      </c>
      <c r="I13">
        <v>2822</v>
      </c>
      <c r="J13">
        <v>2817</v>
      </c>
    </row>
    <row r="15" spans="1:10" x14ac:dyDescent="0.35">
      <c r="A15" t="s">
        <v>1</v>
      </c>
      <c r="B15">
        <v>253.15</v>
      </c>
      <c r="C15">
        <v>258.14999999999998</v>
      </c>
      <c r="D15">
        <v>266.14999999999998</v>
      </c>
      <c r="E15">
        <v>275.14999999999998</v>
      </c>
      <c r="F15">
        <v>280.14999999999998</v>
      </c>
      <c r="G15">
        <v>283.14999999999998</v>
      </c>
      <c r="H15">
        <v>293.14999999999998</v>
      </c>
      <c r="I15">
        <v>303.14999999999998</v>
      </c>
      <c r="J15">
        <v>308.14999999999998</v>
      </c>
    </row>
    <row r="16" spans="1:10" x14ac:dyDescent="0.35">
      <c r="A16">
        <v>308.14999999999998</v>
      </c>
      <c r="B16">
        <f>B2/B9</f>
        <v>2.1099624060150375</v>
      </c>
      <c r="C16">
        <f t="shared" ref="C16:J16" si="0">C2/C9</f>
        <v>2.3100983020554064</v>
      </c>
      <c r="D16">
        <f t="shared" si="0"/>
        <v>2.7003338898163607</v>
      </c>
      <c r="E16">
        <f t="shared" si="0"/>
        <v>3.7002724795640325</v>
      </c>
      <c r="F16">
        <f t="shared" si="0"/>
        <v>4.8989589712186161</v>
      </c>
      <c r="G16">
        <f t="shared" si="0"/>
        <v>5.0897308075772685</v>
      </c>
      <c r="H16">
        <f t="shared" si="0"/>
        <v>7.1686046511627906</v>
      </c>
      <c r="I16">
        <f t="shared" si="0"/>
        <v>8.4027303754266214</v>
      </c>
      <c r="J16">
        <f t="shared" si="0"/>
        <v>8.4017971758664949</v>
      </c>
    </row>
    <row r="17" spans="1:10" x14ac:dyDescent="0.35">
      <c r="A17">
        <v>318.14999999999998</v>
      </c>
      <c r="B17">
        <f t="shared" ref="B17:J20" si="1">B3/B10</f>
        <v>1.8399304045237059</v>
      </c>
      <c r="C17">
        <f t="shared" si="1"/>
        <v>2.0399666944213157</v>
      </c>
      <c r="D17">
        <f t="shared" si="1"/>
        <v>2.3703142748958728</v>
      </c>
      <c r="E17">
        <f t="shared" si="1"/>
        <v>3.1201104463874829</v>
      </c>
      <c r="F17">
        <f t="shared" si="1"/>
        <v>3.7299465240641712</v>
      </c>
      <c r="G17">
        <f t="shared" si="1"/>
        <v>4.0495532087733546</v>
      </c>
      <c r="H17">
        <f t="shared" si="1"/>
        <v>5.459715639810427</v>
      </c>
      <c r="I17">
        <f t="shared" si="1"/>
        <v>7.520184544405998</v>
      </c>
      <c r="J17">
        <f t="shared" si="1"/>
        <v>7.9797979797979801</v>
      </c>
    </row>
    <row r="18" spans="1:10" x14ac:dyDescent="0.35">
      <c r="A18">
        <v>328.15</v>
      </c>
      <c r="B18">
        <f t="shared" si="1"/>
        <v>1.6399132321041214</v>
      </c>
      <c r="C18">
        <f t="shared" si="1"/>
        <v>1.7901938426453821</v>
      </c>
      <c r="D18">
        <f t="shared" si="1"/>
        <v>2.080027595722663</v>
      </c>
      <c r="E18">
        <f t="shared" si="1"/>
        <v>2.7396710790212597</v>
      </c>
      <c r="F18">
        <f t="shared" si="1"/>
        <v>3.1397527163731733</v>
      </c>
      <c r="G18">
        <f t="shared" si="1"/>
        <v>3.4099485420240137</v>
      </c>
      <c r="H18">
        <f t="shared" si="1"/>
        <v>4.4992175273865413</v>
      </c>
      <c r="I18">
        <f t="shared" si="1"/>
        <v>6.0397412199630311</v>
      </c>
      <c r="J18">
        <f t="shared" si="1"/>
        <v>6.2998558385391634</v>
      </c>
    </row>
    <row r="19" spans="1:10" x14ac:dyDescent="0.35">
      <c r="A19">
        <v>338.15</v>
      </c>
      <c r="C19">
        <f t="shared" si="1"/>
        <v>1.5600393700787401</v>
      </c>
      <c r="D19">
        <f t="shared" si="1"/>
        <v>1.8603712671509283</v>
      </c>
      <c r="E19">
        <f t="shared" si="1"/>
        <v>2.2898550724637681</v>
      </c>
      <c r="F19">
        <f t="shared" si="1"/>
        <v>2.630048465266559</v>
      </c>
      <c r="G19">
        <f t="shared" si="1"/>
        <v>2.8296296296296295</v>
      </c>
      <c r="H19">
        <f t="shared" si="1"/>
        <v>3.6596434359805512</v>
      </c>
      <c r="I19">
        <f t="shared" si="1"/>
        <v>4.7996826656088851</v>
      </c>
      <c r="J19">
        <f t="shared" si="1"/>
        <v>4.8506571087216246</v>
      </c>
    </row>
    <row r="20" spans="1:10" x14ac:dyDescent="0.35">
      <c r="A20">
        <v>343.15</v>
      </c>
      <c r="D20">
        <f t="shared" si="1"/>
        <v>1.7401181281235802</v>
      </c>
      <c r="E20">
        <f t="shared" si="1"/>
        <v>2.0600222304557243</v>
      </c>
      <c r="F20">
        <f t="shared" si="1"/>
        <v>2.3802067021609772</v>
      </c>
      <c r="G20">
        <f t="shared" si="1"/>
        <v>2.5603296056503826</v>
      </c>
      <c r="H20">
        <f t="shared" si="1"/>
        <v>3.3903903903903903</v>
      </c>
      <c r="I20">
        <f t="shared" si="1"/>
        <v>4.4294826364280651</v>
      </c>
      <c r="J20">
        <f t="shared" si="1"/>
        <v>4.469293574724885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cop_extrapolation_in_python</vt:lpstr>
      <vt:lpstr>cop_extrapolation_old</vt:lpstr>
      <vt:lpstr>QConMax_old</vt:lpstr>
      <vt:lpstr>cop_extrapolation</vt:lpstr>
      <vt:lpstr>QConMax</vt:lpstr>
      <vt:lpstr>BESRUles_alt</vt:lpstr>
      <vt:lpstr>BESRules</vt:lpstr>
    </vt:vector>
  </TitlesOfParts>
  <Company>E.ON Energy Research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Wuellhorst, Fabian</dc:creator>
  <cp:lastModifiedBy>Fabian Wüllhorst</cp:lastModifiedBy>
  <dcterms:created xsi:type="dcterms:W3CDTF">2024-01-17T16:51:47Z</dcterms:created>
  <dcterms:modified xsi:type="dcterms:W3CDTF">2024-12-29T09:50:32Z</dcterms:modified>
</cp:coreProperties>
</file>